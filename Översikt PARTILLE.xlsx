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14042-2023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45008</v>
      </c>
      <c r="E2" s="1" t="n">
        <v>46229</v>
      </c>
      <c r="F2" t="inlineStr">
        <is>
          <t>VÄSTRA GÖTALANDS LÄN</t>
        </is>
      </c>
      <c r="G2" t="inlineStr">
        <is>
          <t>PARTILLE</t>
        </is>
      </c>
      <c r="H2" t="inlineStr">
        <is>
          <t>Kommuner</t>
        </is>
      </c>
      <c r="I2" t="n">
        <v>4.1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7</v>
      </c>
      <c r="U2" t="n">
        <v>6</v>
      </c>
      <c r="V2" s="2" t="inlineStr">
        <is>
          <t>Dvärghäxört
Ekorrbär
Skogsstjärna
Revlummer</t>
        </is>
      </c>
      <c r="W2">
        <f>HYPERLINK("https://klasma.github.io/Logging_1402/artfynd/A 14042-2023 artfynd.xlsx", "A 14042-2023")</f>
        <v/>
      </c>
      <c r="X2">
        <f>HYPERLINK("https://klasma.github.io/Logging_1402/kartor/A 14042-2023 karta.png", "A 14042-2023")</f>
        <v/>
      </c>
      <c r="Y2">
        <f>HYPERLINK("https://klasma.github.io/Logging_1402/kartor_geotiff/A 14042-2023 georefererad karta.tif", "A 14042-2023")</f>
        <v/>
      </c>
      <c r="AA2">
        <f>HYPERLINK("https://klasma.github.io/Logging_1402/klagomål/A 14042-2023 FSC-klagomål.docx", "A 14042-2023")</f>
        <v/>
      </c>
      <c r="AB2">
        <f>HYPERLINK("https://klasma.github.io/Logging_1402/klagomålsmail/A 14042-2023 FSC-klagomål mail.docx", "A 14042-2023")</f>
        <v/>
      </c>
      <c r="AC2">
        <f>HYPERLINK("https://klasma.github.io/Logging_1402/tillsyn/A 14042-2023 tillsynsbegäran.docx", "A 14042-2023")</f>
        <v/>
      </c>
      <c r="AD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46050</v>
      </c>
      <c r="E3" s="1" t="n">
        <v>46229</v>
      </c>
      <c r="F3" t="inlineStr">
        <is>
          <t>VÄSTRA GÖTALANDS LÄN</t>
        </is>
      </c>
      <c r="G3" t="inlineStr">
        <is>
          <t>PARTILLE</t>
        </is>
      </c>
      <c r="H3" t="inlineStr">
        <is>
          <t>Kommuner</t>
        </is>
      </c>
      <c r="I3" t="n">
        <v>0.5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Brandticka
Kambräken</t>
        </is>
      </c>
      <c r="W3">
        <f>HYPERLINK("https://klasma.github.io/Logging_1402/artfynd/A 5398-2026 artfynd.xlsx", "A 5398-2026")</f>
        <v/>
      </c>
      <c r="X3">
        <f>HYPERLINK("https://klasma.github.io/Logging_1402/kartor/A 5398-2026 karta.png", "A 5398-2026")</f>
        <v/>
      </c>
      <c r="Y3">
        <f>HYPERLINK("https://klasma.github.io/Logging_1402/kartor_geotiff/A 5398-2026 georefererad karta.tif", "A 5398-2026")</f>
        <v/>
      </c>
      <c r="AA3">
        <f>HYPERLINK("https://klasma.github.io/Logging_1402/klagomål/A 5398-2026 FSC-klagomål.docx", "A 5398-2026")</f>
        <v/>
      </c>
      <c r="AB3">
        <f>HYPERLINK("https://klasma.github.io/Logging_1402/klagomålsmail/A 5398-2026 FSC-klagomål mail.docx", "A 5398-2026")</f>
        <v/>
      </c>
      <c r="AC3">
        <f>HYPERLINK("https://klasma.github.io/Logging_1402/tillsyn/A 5398-2026 tillsynsbegäran.docx", "A 5398-2026")</f>
        <v/>
      </c>
      <c r="AD3">
        <f>HYPERLINK("https://klasma.github.io/Logging_1402/tillsynsmail/A 5398-2026 tillsynsbegäran mail.docx", "A 5398-2026")</f>
        <v/>
      </c>
    </row>
    <row r="4" ht="15" customHeight="1">
      <c r="A4" t="inlineStr">
        <is>
          <t>A 5402-2026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46050</v>
      </c>
      <c r="E4" s="1" t="n">
        <v>46229</v>
      </c>
      <c r="F4" t="inlineStr">
        <is>
          <t>VÄSTRA GÖTALANDS LÄN</t>
        </is>
      </c>
      <c r="G4" t="inlineStr">
        <is>
          <t>PARTILLE</t>
        </is>
      </c>
      <c r="H4" t="inlineStr">
        <is>
          <t>Kommuner</t>
        </is>
      </c>
      <c r="I4" t="n">
        <v>0.7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Kambräken
Revlummer</t>
        </is>
      </c>
      <c r="W4">
        <f>HYPERLINK("https://klasma.github.io/Logging_1402/artfynd/A 5402-2026 artfynd.xlsx", "A 5402-2026")</f>
        <v/>
      </c>
      <c r="X4">
        <f>HYPERLINK("https://klasma.github.io/Logging_1402/kartor/A 5402-2026 karta.png", "A 5402-2026")</f>
        <v/>
      </c>
      <c r="Y4">
        <f>HYPERLINK("https://klasma.github.io/Logging_1402/kartor_geotiff/A 5402-2026 georefererad karta.tif", "A 5402-2026")</f>
        <v/>
      </c>
      <c r="AA4">
        <f>HYPERLINK("https://klasma.github.io/Logging_1402/klagomål/A 5402-2026 FSC-klagomål.docx", "A 5402-2026")</f>
        <v/>
      </c>
      <c r="AB4">
        <f>HYPERLINK("https://klasma.github.io/Logging_1402/klagomålsmail/A 5402-2026 FSC-klagomål mail.docx", "A 5402-2026")</f>
        <v/>
      </c>
      <c r="AC4">
        <f>HYPERLINK("https://klasma.github.io/Logging_1402/tillsyn/A 5402-2026 tillsynsbegäran.docx", "A 5402-2026")</f>
        <v/>
      </c>
      <c r="AD4">
        <f>HYPERLINK("https://klasma.github.io/Logging_1402/tillsynsmail/A 5402-2026 tillsynsbegäran mail.docx", "A 5402-2026")</f>
        <v/>
      </c>
    </row>
    <row r="5" ht="15" customHeight="1">
      <c r="A5" t="inlineStr">
        <is>
          <t>A 6983-2023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44967</v>
      </c>
      <c r="E5" s="1" t="n">
        <v>46229</v>
      </c>
      <c r="F5" t="inlineStr">
        <is>
          <t>VÄSTRA GÖTALANDS LÄN</t>
        </is>
      </c>
      <c r="G5" t="inlineStr">
        <is>
          <t>PARTILLE</t>
        </is>
      </c>
      <c r="I5" t="n">
        <v>5.4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25251-2025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45800</v>
      </c>
      <c r="E6" s="1" t="n">
        <v>46229</v>
      </c>
      <c r="F6" t="inlineStr">
        <is>
          <t>VÄSTRA GÖTALANDS LÄN</t>
        </is>
      </c>
      <c r="G6" t="inlineStr">
        <is>
          <t>PARTILLE</t>
        </is>
      </c>
      <c r="H6" t="inlineStr">
        <is>
          <t>Kommuner</t>
        </is>
      </c>
      <c r="I6" t="n">
        <v>0.7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35734-2023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45147</v>
      </c>
      <c r="E7" s="1" t="n">
        <v>46229</v>
      </c>
      <c r="F7" t="inlineStr">
        <is>
          <t>VÄSTRA GÖTALANDS LÄN</t>
        </is>
      </c>
      <c r="G7" t="inlineStr">
        <is>
          <t>PARTILLE</t>
        </is>
      </c>
      <c r="I7" t="n">
        <v>5.9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25254-2025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45800</v>
      </c>
      <c r="E8" s="1" t="n">
        <v>46229</v>
      </c>
      <c r="F8" t="inlineStr">
        <is>
          <t>VÄSTRA GÖTALANDS LÄN</t>
        </is>
      </c>
      <c r="G8" t="inlineStr">
        <is>
          <t>PARTILLE</t>
        </is>
      </c>
      <c r="H8" t="inlineStr">
        <is>
          <t>Kommuner</t>
        </is>
      </c>
      <c r="I8" t="n">
        <v>0.2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A 26074-2025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45805</v>
      </c>
      <c r="E9" s="1" t="n">
        <v>46229</v>
      </c>
      <c r="F9" t="inlineStr">
        <is>
          <t>VÄSTRA GÖTALANDS LÄN</t>
        </is>
      </c>
      <c r="G9" t="inlineStr">
        <is>
          <t>PARTILLE</t>
        </is>
      </c>
      <c r="I9" t="n">
        <v>1.3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2026-07-26T01:50:36Z</dcterms:created>
  <dcterms:modified xmlns:dcterms="http://purl.org/dc/terms/" xmlns:xsi="http://www.w3.org/2001/XMLSchema-instance" xsi:type="dcterms:W3CDTF">2026-07-26T01:50:36Z</dcterms:modified>
</cp:coreProperties>
</file>