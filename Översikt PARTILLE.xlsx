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5398-2026</t>
        </is>
      </c>
      <c r="B2" s="1" t="n">
        <v>46050</v>
      </c>
      <c r="C2" s="1" t="n">
        <v>46197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0.5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Brandticka
Kambräken</t>
        </is>
      </c>
      <c r="S2">
        <f>HYPERLINK("https://klasma.github.io/Logging_1402/artfynd/A 5398-2026 artfynd.xlsx", "A 5398-2026")</f>
        <v/>
      </c>
      <c r="T2">
        <f>HYPERLINK("https://klasma.github.io/Logging_1402/kartor/A 5398-2026 karta.png", "A 5398-2026")</f>
        <v/>
      </c>
      <c r="V2">
        <f>HYPERLINK("https://klasma.github.io/Logging_1402/klagomål/A 5398-2026 FSC-klagomål.docx", "A 5398-2026")</f>
        <v/>
      </c>
      <c r="W2">
        <f>HYPERLINK("https://klasma.github.io/Logging_1402/klagomålsmail/A 5398-2026 FSC-klagomål mail.docx", "A 5398-2026")</f>
        <v/>
      </c>
      <c r="X2">
        <f>HYPERLINK("https://klasma.github.io/Logging_1402/tillsyn/A 5398-2026 tillsynsbegäran.docx", "A 5398-2026")</f>
        <v/>
      </c>
      <c r="Y2">
        <f>HYPERLINK("https://klasma.github.io/Logging_1402/tillsynsmail/A 5398-2026 tillsynsbegäran mail.docx", "A 5398-2026")</f>
        <v/>
      </c>
    </row>
    <row r="3" ht="15" customHeight="1">
      <c r="A3" t="inlineStr">
        <is>
          <t>A 5402-2026</t>
        </is>
      </c>
      <c r="B3" s="1" t="n">
        <v>46050</v>
      </c>
      <c r="C3" s="1" t="n">
        <v>46197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0.7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Kambräken
Revlummer</t>
        </is>
      </c>
      <c r="S3">
        <f>HYPERLINK("https://klasma.github.io/Logging_1402/artfynd/A 5402-2026 artfynd.xlsx", "A 5402-2026")</f>
        <v/>
      </c>
      <c r="T3">
        <f>HYPERLINK("https://klasma.github.io/Logging_1402/kartor/A 5402-2026 karta.png", "A 5402-2026")</f>
        <v/>
      </c>
      <c r="V3">
        <f>HYPERLINK("https://klasma.github.io/Logging_1402/klagomål/A 5402-2026 FSC-klagomål.docx", "A 5402-2026")</f>
        <v/>
      </c>
      <c r="W3">
        <f>HYPERLINK("https://klasma.github.io/Logging_1402/klagomålsmail/A 5402-2026 FSC-klagomål mail.docx", "A 5402-2026")</f>
        <v/>
      </c>
      <c r="X3">
        <f>HYPERLINK("https://klasma.github.io/Logging_1402/tillsyn/A 5402-2026 tillsynsbegäran.docx", "A 5402-2026")</f>
        <v/>
      </c>
      <c r="Y3">
        <f>HYPERLINK("https://klasma.github.io/Logging_1402/tillsynsmail/A 5402-2026 tillsynsbegäran mail.docx", "A 5402-2026")</f>
        <v/>
      </c>
    </row>
    <row r="4" ht="15" customHeight="1">
      <c r="A4" t="inlineStr">
        <is>
          <t>A 14042-2023</t>
        </is>
      </c>
      <c r="B4" s="1" t="n">
        <v>45008</v>
      </c>
      <c r="C4" s="1" t="n">
        <v>46197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4.1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HYPERLINK("https://klasma.github.io/Logging_1402/artfynd/A 14042-2023 artfynd.xlsx", "A 14042-2023")</f>
        <v/>
      </c>
      <c r="T4">
        <f>HYPERLINK("https://klasma.github.io/Logging_1402/kartor/A 14042-2023 karta.png", "A 14042-2023")</f>
        <v/>
      </c>
      <c r="V4">
        <f>HYPERLINK("https://klasma.github.io/Logging_1402/klagomål/A 14042-2023 FSC-klagomål.docx", "A 14042-2023")</f>
        <v/>
      </c>
      <c r="W4">
        <f>HYPERLINK("https://klasma.github.io/Logging_1402/klagomålsmail/A 14042-2023 FSC-klagomål mail.docx", "A 14042-2023")</f>
        <v/>
      </c>
      <c r="X4">
        <f>HYPERLINK("https://klasma.github.io/Logging_1402/tillsyn/A 14042-2023 tillsynsbegäran.docx", "A 14042-2023")</f>
        <v/>
      </c>
      <c r="Y4">
        <f>HYPERLINK("https://klasma.github.io/Logging_1402/tillsynsmail/A 14042-2023 tillsynsbegäran mail.docx", "A 14042-2023")</f>
        <v/>
      </c>
    </row>
    <row r="5" ht="15" customHeight="1">
      <c r="A5" t="inlineStr">
        <is>
          <t>A 35734-2023</t>
        </is>
      </c>
      <c r="B5" s="1" t="n">
        <v>45147</v>
      </c>
      <c r="C5" s="1" t="n">
        <v>46197</v>
      </c>
      <c r="D5" t="inlineStr">
        <is>
          <t>VÄSTRA GÖTALANDS LÄN</t>
        </is>
      </c>
      <c r="E5" t="inlineStr">
        <is>
          <t>PARTILLE</t>
        </is>
      </c>
      <c r="G5" t="n">
        <v>5.9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</v>
      </c>
      <c r="C6" s="1" t="n">
        <v>46197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25251-2025</t>
        </is>
      </c>
      <c r="B7" s="1" t="n">
        <v>45800</v>
      </c>
      <c r="C7" s="1" t="n">
        <v>46197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6983-2023</t>
        </is>
      </c>
      <c r="B8" s="1" t="n">
        <v>44967</v>
      </c>
      <c r="C8" s="1" t="n">
        <v>46197</v>
      </c>
      <c r="D8" t="inlineStr">
        <is>
          <t>VÄSTRA GÖTALANDS LÄN</t>
        </is>
      </c>
      <c r="E8" t="inlineStr">
        <is>
          <t>PARTILLE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25254-2025</t>
        </is>
      </c>
      <c r="B9" s="1" t="n">
        <v>45800</v>
      </c>
      <c r="C9" s="1" t="n">
        <v>46197</v>
      </c>
      <c r="D9" t="inlineStr">
        <is>
          <t>VÄSTRA GÖTALANDS LÄN</t>
        </is>
      </c>
      <c r="E9" t="inlineStr">
        <is>
          <t>PARTILLE</t>
        </is>
      </c>
      <c r="F9" t="inlineStr">
        <is>
          <t>Kommuner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2026-06-24T00:45:58Z</dcterms:created>
  <dcterms:modified xmlns:dcterms="http://purl.org/dc/terms/" xmlns:xsi="http://www.w3.org/2001/XMLSchema-instance" xsi:type="dcterms:W3CDTF">2026-06-24T00:45:58Z</dcterms:modified>
</cp:coreProperties>
</file>